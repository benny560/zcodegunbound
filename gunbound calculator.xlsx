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2"/>
  </bookViews>
  <sheets>
    <sheet name="Finding power" sheetId="1" r:id="rId1"/>
    <sheet name="Given time" sheetId="4" r:id="rId2"/>
    <sheet name="Sheet1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<sst xmlns="http://schemas.openxmlformats.org/spreadsheetml/2006/main" count="101" uniqueCount="53">
  <si>
    <t>Public version</t>
  </si>
  <si>
    <t>Made by:</t>
  </si>
  <si>
    <t>MaShin.</t>
  </si>
  <si>
    <t>Your setting:</t>
  </si>
  <si>
    <t>Game setting: (wind)</t>
  </si>
  <si>
    <t>Tank:</t>
  </si>
  <si>
    <t>Gravity:</t>
  </si>
  <si>
    <t>Mass:</t>
  </si>
  <si>
    <t>Timing:</t>
  </si>
  <si>
    <t>SD Parts:</t>
  </si>
  <si>
    <t>Angle:</t>
  </si>
  <si>
    <t>Boomer:</t>
  </si>
  <si>
    <t>-</t>
  </si>
  <si>
    <t>Distance:</t>
  </si>
  <si>
    <t>Strength:</t>
  </si>
  <si>
    <t>Ice:</t>
  </si>
  <si>
    <t>Nak:</t>
  </si>
  <si>
    <t>Raon:</t>
  </si>
  <si>
    <t>Armor:</t>
  </si>
  <si>
    <t>Turtle:</t>
  </si>
  <si>
    <t>Trico</t>
  </si>
  <si>
    <t>wind</t>
  </si>
  <si>
    <t>Radians:</t>
  </si>
  <si>
    <t>Cosinus:</t>
  </si>
  <si>
    <t>Sinus:</t>
  </si>
  <si>
    <t>xDistance:</t>
  </si>
  <si>
    <t>xForce</t>
  </si>
  <si>
    <t>Velocity:</t>
  </si>
  <si>
    <t>yForce</t>
  </si>
  <si>
    <t>xVelocity:</t>
  </si>
  <si>
    <t>xA</t>
  </si>
  <si>
    <t>yVelocity:</t>
  </si>
  <si>
    <t>yA</t>
  </si>
  <si>
    <t>Time:</t>
  </si>
  <si>
    <t>Power:</t>
  </si>
  <si>
    <t>trico</t>
  </si>
  <si>
    <t>Fork:</t>
  </si>
  <si>
    <t>First:</t>
  </si>
  <si>
    <t>Second:</t>
  </si>
  <si>
    <t>tan(a):</t>
  </si>
  <si>
    <t>a:</t>
  </si>
  <si>
    <t xml:space="preserve">​恐龙数据(调整)20260520.xlsx​ ​gunbound calculator.xlsx​ </t>
  </si>
  <si>
    <t>以这两个文件为基准重新更新计算器里面的数据，重点放在trico车种的3in1模式，以下仅针对trico：</t>
  </si>
  <si>
    <t>1、恐龙数据这个excel是已经确定好的实战数据，不会100%准确，但是95%以上精度还是可以确保的，可以作为基准数据的参考；</t>
  </si>
  <si>
    <r>
      <t>2</t>
    </r>
    <r>
      <rPr>
        <sz val="10"/>
        <rFont val="宋体"/>
        <charset val="0"/>
      </rPr>
      <t>、恐龙的炮弹是打出去后直接呈现特殊的结构，可以理解为打出去三颗炮弹，以第二颗炮弹为圆心，第</t>
    </r>
    <r>
      <rPr>
        <sz val="10"/>
        <rFont val="Arial"/>
        <charset val="0"/>
      </rPr>
      <t>1</t>
    </r>
    <r>
      <rPr>
        <sz val="10"/>
        <rFont val="宋体"/>
        <charset val="0"/>
      </rPr>
      <t>和第三颗炮弹以同样直径且对立的位置进行旋转，往右边攻击时为顺时针旋转，左边攻击时为逆时针旋转；</t>
    </r>
  </si>
  <si>
    <t>3、每次攻击3颗会依次命中同一个敌人，而不是同时命中，所以需要计算出弹道轨迹公式；</t>
  </si>
  <si>
    <t>4、开炮角度影响出炮时的炮弹角度，如果90度开炮，那就是一根竖线样式的炮弹；</t>
  </si>
  <si>
    <t>5、开炮到命中敌人，未必会旋转完一个圈，一般在无风情况下，76度开炮，那命中敌人时的角度也会接近斜下的那种76度，而如果15度开炮，那接连命中敌人的3颗炮弹也会很接近水平线；</t>
  </si>
  <si>
    <t>6、推理一下左打右和右打左的4圈数据，用上面完成的公式；</t>
  </si>
  <si>
    <t>7、需要计算落差，如果水平距离是20为一个屏幕的距离，而一个屏幕是800*600，那13的落差单位=516像素，比我高是加，比我矮是减，有落差时需计算开炮角度和力度加/减多少才能让炮弹依次命中有落差的敌人</t>
  </si>
  <si>
    <t>8、需要计算角化力，也就是如果算出来是76.7度，那需要四舍五入到77度，然后通过excel中finding power找出这个角度用多少力，再给出结果</t>
  </si>
  <si>
    <t>9、风力计算方面可能需要特殊处理，比如现在有个问题就是excel的公式在部分角度的大风场合，会出现打偏或漏炮弹的情况，也就是说excel的风力计算公式与实际有差异，那我怎么去让计算器逐步进行修正，达到后期可以完美命中每一发，你看怎么去实现这个功能</t>
  </si>
  <si>
    <t>10、最后把UI整体美化一下，类似claude那种界面，可以修改整体布局和位置，但是该有的功能不能少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</si>
</sst>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  <numFmt numFmtId="180" formatCode="0.000"/>
    <numFmt numFmtId="181" formatCode="0.00000"/>
  </numFmts>
  <fonts count="29">
    <font>
      <sz val="10"/>
      <name val="Arial"/>
      <charset val="0"/>
    </font>
    <font>
      <sz val="8"/>
      <name val="Arial"/>
      <charset val="0"/>
    </font>
    <font>
      <b/>
      <sz val="10"/>
      <name val="Arial"/>
      <charset val="0"/>
    </font>
    <font>
      <b/>
      <u/>
      <sz val="10"/>
      <name val="Arial"/>
      <charset val="0"/>
    </font>
    <font>
      <sz val="10"/>
      <color indexed="52"/>
      <name val="Arial"/>
      <charset val="0"/>
    </font>
    <font>
      <sz val="10"/>
      <color indexed="9"/>
      <name val="Arial"/>
      <charset val="0"/>
    </font>
    <font>
      <b/>
      <sz val="10"/>
      <color indexed="9"/>
      <name val="Arial"/>
      <charset val="0"/>
    </font>
    <font>
      <sz val="10"/>
      <color indexed="10"/>
      <name val="Arial"/>
      <charset val="0"/>
    </font>
    <font>
      <b/>
      <sz val="10"/>
      <color indexed="10"/>
      <name val="Arial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宋体"/>
      <charset val="0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4" borderId="6" applyNumberFormat="0" applyAlignment="0" applyProtection="0"/>
    <xf numFmtId="0" fontId="18" fillId="5" borderId="7" applyNumberFormat="0" applyAlignment="0" applyProtection="0"/>
    <xf numFmtId="0" fontId="19" fillId="5" borderId="6" applyNumberFormat="0" applyAlignment="0" applyProtection="0"/>
    <xf numFmtId="0" fontId="20" fillId="6" borderId="8" applyNumberFormat="0" applyAlignment="0" applyProtection="0"/>
    <xf numFmtId="0" fontId="21" fillId="0" borderId="9" applyNumberFormat="0" applyFill="0" applyAlignment="0" applyProtection="0"/>
    <xf numFmtId="0" fontId="22" fillId="0" borderId="10" applyNumberFormat="0" applyFill="0" applyAlignment="0" applyProtection="0"/>
    <xf numFmtId="0" fontId="23" fillId="7" borderId="0" applyNumberFormat="0" applyBorder="0" applyAlignment="0" applyProtection="0"/>
    <xf numFmtId="0" fontId="24" fillId="8" borderId="0" applyNumberFormat="0" applyBorder="0" applyAlignment="0" applyProtection="0"/>
    <xf numFmtId="0" fontId="25" fillId="9" borderId="0" applyNumberFormat="0" applyBorder="0" applyAlignment="0" applyProtection="0"/>
    <xf numFmtId="0" fontId="26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6" fillId="13" borderId="0" applyNumberFormat="0" applyBorder="0" applyAlignment="0" applyProtection="0"/>
    <xf numFmtId="0" fontId="26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20" borderId="0" applyNumberFormat="0" applyBorder="0" applyAlignment="0" applyProtection="0"/>
    <xf numFmtId="0" fontId="26" fillId="21" borderId="0" applyNumberFormat="0" applyBorder="0" applyAlignment="0" applyProtection="0"/>
    <xf numFmtId="0" fontId="26" fillId="22" borderId="0" applyNumberFormat="0" applyBorder="0" applyAlignment="0" applyProtection="0"/>
    <xf numFmtId="0" fontId="27" fillId="23" borderId="0" applyNumberFormat="0" applyBorder="0" applyAlignment="0" applyProtection="0"/>
    <xf numFmtId="0" fontId="27" fillId="24" borderId="0" applyNumberFormat="0" applyBorder="0" applyAlignment="0" applyProtection="0"/>
    <xf numFmtId="0" fontId="26" fillId="25" borderId="0" applyNumberFormat="0" applyBorder="0" applyAlignment="0" applyProtection="0"/>
    <xf numFmtId="0" fontId="26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6" fillId="33" borderId="0" applyNumberFormat="0" applyBorder="0" applyAlignment="0" applyProtection="0"/>
  </cellStyleXfs>
  <cellXfs count="54">
    <xf numFmtId="0" fontId="0" fillId="0" borderId="0" xfId="0"/>
    <xf numFmtId="0" fontId="0" fillId="0" borderId="0" xfId="0" applyFont="1"/>
    <xf numFmtId="0" fontId="0" fillId="0" borderId="0" xfId="0" applyNumberFormat="1" applyFont="1" applyBorder="1"/>
    <xf numFmtId="0" fontId="0" fillId="0" borderId="0" xfId="0" applyFont="1" applyBorder="1"/>
    <xf numFmtId="0" fontId="0" fillId="0" borderId="0" xfId="0" applyNumberFormat="1" applyFont="1" applyBorder="1" applyAlignment="1">
      <alignment horizontal="right"/>
    </xf>
    <xf numFmtId="0" fontId="0" fillId="0" borderId="0" xfId="0" applyNumberFormat="1"/>
    <xf numFmtId="2" fontId="0" fillId="0" borderId="0" xfId="0" applyNumberFormat="1"/>
    <xf numFmtId="0" fontId="1" fillId="0" borderId="0" xfId="0" applyNumberFormat="1" applyFont="1"/>
    <xf numFmtId="0" fontId="2" fillId="0" borderId="0" xfId="0" applyFont="1"/>
    <xf numFmtId="0" fontId="3" fillId="0" borderId="0" xfId="0" applyFont="1"/>
    <xf numFmtId="2" fontId="2" fillId="0" borderId="0" xfId="0" applyNumberFormat="1" applyFont="1"/>
    <xf numFmtId="0" fontId="2" fillId="0" borderId="1" xfId="0" applyNumberFormat="1" applyFont="1" applyBorder="1"/>
    <xf numFmtId="0" fontId="2" fillId="0" borderId="1" xfId="0" applyNumberFormat="1" applyFont="1" applyFill="1" applyBorder="1"/>
    <xf numFmtId="2" fontId="2" fillId="0" borderId="0" xfId="0" applyNumberFormat="1" applyFont="1" applyProtection="1">
      <protection locked="0"/>
    </xf>
    <xf numFmtId="0" fontId="2" fillId="0" borderId="0" xfId="0" applyFont="1" applyProtection="1">
      <protection locked="0"/>
    </xf>
    <xf numFmtId="0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NumberFormat="1" applyBorder="1"/>
    <xf numFmtId="180" fontId="2" fillId="0" borderId="0" xfId="0" applyNumberFormat="1" applyFont="1" applyProtection="1">
      <protection locked="0"/>
    </xf>
    <xf numFmtId="0" fontId="2" fillId="0" borderId="0" xfId="0" applyNumberFormat="1" applyFont="1" applyProtection="1">
      <protection locked="0"/>
    </xf>
    <xf numFmtId="0" fontId="0" fillId="2" borderId="0" xfId="0" applyFont="1" applyFill="1" applyProtection="1">
      <protection hidden="1"/>
    </xf>
    <xf numFmtId="2" fontId="0" fillId="2" borderId="0" xfId="0" applyNumberFormat="1" applyFont="1" applyFill="1" applyProtection="1">
      <protection hidden="1"/>
    </xf>
    <xf numFmtId="0" fontId="0" fillId="2" borderId="0" xfId="0" applyFill="1" applyProtection="1">
      <protection hidden="1"/>
    </xf>
    <xf numFmtId="0" fontId="0" fillId="2" borderId="0" xfId="0" applyNumberFormat="1" applyFill="1"/>
    <xf numFmtId="0" fontId="4" fillId="2" borderId="0" xfId="0" applyFont="1" applyFill="1" applyProtection="1">
      <protection hidden="1"/>
    </xf>
    <xf numFmtId="2" fontId="4" fillId="2" borderId="0" xfId="0" applyNumberFormat="1" applyFont="1" applyFill="1" applyProtection="1">
      <protection hidden="1"/>
    </xf>
    <xf numFmtId="0" fontId="4" fillId="2" borderId="0" xfId="0" applyNumberFormat="1" applyFont="1" applyFill="1"/>
    <xf numFmtId="0" fontId="2" fillId="0" borderId="0" xfId="0" applyNumberFormat="1" applyFont="1" applyBorder="1"/>
    <xf numFmtId="0" fontId="0" fillId="0" borderId="0" xfId="0" applyNumberFormat="1" applyBorder="1"/>
    <xf numFmtId="0" fontId="0" fillId="0" borderId="0" xfId="0" applyBorder="1" applyAlignment="1">
      <alignment horizontal="center"/>
    </xf>
    <xf numFmtId="0" fontId="5" fillId="2" borderId="0" xfId="0" applyFont="1" applyFill="1" applyProtection="1">
      <protection hidden="1"/>
    </xf>
    <xf numFmtId="2" fontId="5" fillId="2" borderId="0" xfId="0" applyNumberFormat="1" applyFont="1" applyFill="1" applyProtection="1">
      <protection hidden="1"/>
    </xf>
    <xf numFmtId="0" fontId="0" fillId="0" borderId="0" xfId="0" applyBorder="1"/>
    <xf numFmtId="0" fontId="0" fillId="0" borderId="0" xfId="0" applyNumberFormat="1" applyBorder="1" applyAlignment="1">
      <alignment horizontal="right"/>
    </xf>
    <xf numFmtId="0" fontId="6" fillId="2" borderId="0" xfId="0" applyFont="1" applyFill="1" applyProtection="1">
      <protection hidden="1"/>
    </xf>
    <xf numFmtId="2" fontId="6" fillId="2" borderId="0" xfId="0" applyNumberFormat="1" applyFont="1" applyFill="1" applyProtection="1">
      <protection hidden="1"/>
    </xf>
    <xf numFmtId="0" fontId="5" fillId="2" borderId="0" xfId="0" applyNumberFormat="1" applyFont="1" applyFill="1"/>
    <xf numFmtId="0" fontId="2" fillId="0" borderId="0" xfId="0" applyNumberFormat="1" applyFont="1" applyFill="1" applyBorder="1"/>
    <xf numFmtId="181" fontId="2" fillId="0" borderId="0" xfId="0" applyNumberFormat="1" applyFont="1"/>
    <xf numFmtId="0" fontId="0" fillId="0" borderId="0" xfId="0" applyNumberFormat="1" applyFont="1"/>
    <xf numFmtId="0" fontId="3" fillId="0" borderId="0" xfId="0" applyFont="1" applyProtection="1"/>
    <xf numFmtId="0" fontId="2" fillId="0" borderId="0" xfId="0" applyFont="1" applyProtection="1"/>
    <xf numFmtId="0" fontId="7" fillId="0" borderId="0" xfId="0" applyFont="1" applyProtection="1">
      <protection hidden="1"/>
    </xf>
    <xf numFmtId="2" fontId="7" fillId="0" borderId="0" xfId="0" applyNumberFormat="1" applyFont="1" applyProtection="1">
      <protection hidden="1"/>
    </xf>
    <xf numFmtId="0" fontId="7" fillId="0" borderId="0" xfId="0" applyNumberFormat="1" applyFont="1" applyProtection="1">
      <protection hidden="1"/>
    </xf>
    <xf numFmtId="0" fontId="0" fillId="0" borderId="0" xfId="0" applyFont="1" applyBorder="1" applyAlignment="1">
      <alignment horizontal="center"/>
    </xf>
    <xf numFmtId="0" fontId="5" fillId="0" borderId="0" xfId="0" applyFont="1" applyProtection="1">
      <protection hidden="1"/>
    </xf>
    <xf numFmtId="2" fontId="5" fillId="0" borderId="0" xfId="0" applyNumberFormat="1" applyFont="1" applyProtection="1">
      <protection hidden="1"/>
    </xf>
    <xf numFmtId="0" fontId="8" fillId="0" borderId="0" xfId="0" applyFont="1" applyProtection="1">
      <protection hidden="1"/>
    </xf>
    <xf numFmtId="2" fontId="8" fillId="0" borderId="0" xfId="0" applyNumberFormat="1" applyFont="1" applyProtection="1">
      <protection hidden="1"/>
    </xf>
    <xf numFmtId="0" fontId="2" fillId="0" borderId="0" xfId="0" applyFont="1" applyProtection="1">
      <protection hidden="1"/>
    </xf>
    <xf numFmtId="181" fontId="2" fillId="0" borderId="0" xfId="0" applyNumberFormat="1" applyFont="1" applyProtection="1">
      <protection hidden="1"/>
    </xf>
    <xf numFmtId="0" fontId="0" fillId="0" borderId="0" xfId="0" applyProtection="1">
      <protection hidden="1"/>
    </xf>
    <xf numFmtId="0" fontId="0" fillId="0" borderId="0" xfId="0" applyNumberFormat="1" applyFont="1" applyProtection="1">
      <protection hidden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9900"/>
      <color rgb="00FF0000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100" b="1" i="0" u="none" strike="noStrike" kern="1200" baseline="0">
                <a:solidFill>
                  <a:srgbClr val="000000">
                    <a:alpha val="100000"/>
                  </a:srgbClr>
                </a:solidFill>
                <a:latin typeface="Arial" panose="020B0604020202020204" charset="-122"/>
                <a:ea typeface="Arial" panose="020B0604020202020204" charset="-122"/>
                <a:cs typeface="Arial" panose="020B0604020202020204" charset="-122"/>
              </a:defRPr>
            </a:pPr>
            <a:r>
              <a:t>Visual graph.</a:t>
            </a:r>
            <a:endParaRPr sz="1100" b="1" i="0" u="none" strike="noStrike" baseline="0">
              <a:solidFill>
                <a:srgbClr val="000000">
                  <a:alpha val="100000"/>
                </a:srgbClr>
              </a:solidFill>
              <a:latin typeface="Arial" panose="020B0604020202020204" charset="-122"/>
              <a:ea typeface="Arial" panose="020B0604020202020204" charset="-122"/>
              <a:cs typeface="Arial" panose="020B0604020202020204" charset="-122"/>
            </a:endParaRPr>
          </a:p>
        </c:rich>
      </c:tx>
      <c:layout>
        <c:manualLayout>
          <c:xMode val="edge"/>
          <c:yMode val="edge"/>
          <c:x val="0.402922755741127"/>
          <c:y val="0.03690036900369"/>
        </c:manualLayout>
      </c:layout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9102296450939"/>
          <c:y val="0.236162787136018"/>
          <c:w val="0.766179540709812"/>
          <c:h val="0.51660609686004"/>
        </c:manualLayout>
      </c:layout>
      <c:scatterChart>
        <c:scatterStyle val="lineMarker"/>
        <c:varyColors val="0"/>
        <c:ser>
          <c:idx val="0"/>
          <c:order val="0"/>
          <c:spPr>
            <a:ln w="25400" cap="rnd" cmpd="sng" algn="ctr">
              <a:solidFill>
                <a:srgbClr val="000000">
                  <a:alpha val="100000"/>
                </a:srgbClr>
              </a:solidFill>
              <a:prstDash val="solid"/>
              <a:round/>
            </a:ln>
          </c:spPr>
          <c:marker>
            <c:symbol val="circle"/>
            <c:size val="2"/>
            <c:spPr>
              <a:solidFill>
                <a:srgbClr val="000080">
                  <a:alpha val="100000"/>
                </a:srgbClr>
              </a:solidFill>
              <a:ln w="9525" cap="flat" cmpd="sng" algn="ctr">
                <a:solidFill>
                  <a:srgbClr val="000080">
                    <a:alpha val="100000"/>
                  </a:srgb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'Finding power'!$G$14:$G$24</c:f>
              <c:numCache>
                <c:formatCode>0.00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'Finding power'!$H$14:$H$24</c:f>
              <c:numCache>
                <c:formatCode>0.00</c:formatCode>
                <c:ptCount val="11"/>
                <c:pt idx="0">
                  <c:v>0</c:v>
                </c:pt>
                <c:pt idx="1">
                  <c:v>0.550315570149732</c:v>
                </c:pt>
                <c:pt idx="2">
                  <c:v>0.978338791377301</c:v>
                </c:pt>
                <c:pt idx="3">
                  <c:v>1.28406966368271</c:v>
                </c:pt>
                <c:pt idx="4">
                  <c:v>1.46750818706595</c:v>
                </c:pt>
                <c:pt idx="5">
                  <c:v>1.52865436152703</c:v>
                </c:pt>
                <c:pt idx="6">
                  <c:v>1.46750818706595</c:v>
                </c:pt>
                <c:pt idx="7">
                  <c:v>1.28406966368271</c:v>
                </c:pt>
                <c:pt idx="8">
                  <c:v>0.978338791377301</c:v>
                </c:pt>
                <c:pt idx="9">
                  <c:v>0.550315570149731</c:v>
                </c:pt>
                <c:pt idx="10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524671"/>
        <c:axId val="173727834"/>
      </c:scatterChart>
      <c:valAx>
        <c:axId val="749524671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rgbClr val="000000">
                  <a:alpha val="100000"/>
                </a:srgbClr>
              </a:solidFill>
              <a:prstDash val="solid"/>
              <a:round/>
            </a:ln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925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Arial" panose="020B0604020202020204" charset="-122"/>
                    <a:ea typeface="Arial" panose="020B0604020202020204" charset="-122"/>
                    <a:cs typeface="Arial" panose="020B0604020202020204" charset="-122"/>
                  </a:defRPr>
                </a:pPr>
                <a:r>
                  <a:t>Distance.</a:t>
                </a:r>
                <a:endParaRPr sz="925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Arial" panose="020B0604020202020204" charset="-122"/>
                  <a:ea typeface="Arial" panose="020B0604020202020204" charset="-122"/>
                  <a:cs typeface="Arial" panose="020B0604020202020204" charset="-122"/>
                </a:endParaRPr>
              </a:p>
            </c:rich>
          </c:tx>
          <c:layout>
            <c:manualLayout>
              <c:xMode val="edge"/>
              <c:yMode val="edge"/>
              <c:x val="0.492693110647182"/>
              <c:y val="0.863470184308142"/>
            </c:manualLayout>
          </c:layout>
          <c:overlay val="0"/>
          <c:spPr>
            <a:noFill/>
            <a:ln w="3175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25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</a:defRPr>
            </a:pPr>
          </a:p>
        </c:txPr>
        <c:crossAx val="173727834"/>
        <c:crosses val="autoZero"/>
        <c:crossBetween val="midCat"/>
      </c:valAx>
      <c:valAx>
        <c:axId val="173727834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000000">
                  <a:alpha val="100000"/>
                </a:srgb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925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Arial" panose="020B0604020202020204" charset="-122"/>
                    <a:ea typeface="Arial" panose="020B0604020202020204" charset="-122"/>
                    <a:cs typeface="Arial" panose="020B0604020202020204" charset="-122"/>
                  </a:defRPr>
                </a:pPr>
                <a:r>
                  <a:t>Hight.</a:t>
                </a:r>
                <a:endParaRPr sz="925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Arial" panose="020B0604020202020204" charset="-122"/>
                  <a:ea typeface="Arial" panose="020B0604020202020204" charset="-122"/>
                  <a:cs typeface="Arial" panose="020B0604020202020204" charset="-122"/>
                </a:endParaRPr>
              </a:p>
            </c:rich>
          </c:tx>
          <c:layout>
            <c:manualLayout>
              <c:xMode val="edge"/>
              <c:yMode val="edge"/>
              <c:x val="0.0334029227557411"/>
              <c:y val="0.428045055253702"/>
            </c:manualLayout>
          </c:layout>
          <c:overlay val="0"/>
          <c:spPr>
            <a:noFill/>
            <a:ln w="3175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25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</a:defRPr>
            </a:pPr>
          </a:p>
        </c:txPr>
        <c:crossAx val="749524671"/>
        <c:crosses val="autoZero"/>
        <c:crossBetween val="midCat"/>
      </c:valAx>
      <c:spPr>
        <a:solidFill>
          <a:srgbClr val="C0C0C0">
            <a:alpha val="100000"/>
          </a:srgbClr>
        </a:solidFill>
        <a:ln w="12700">
          <a:solidFill>
            <a:srgbClr val="808080">
              <a:alpha val="100000"/>
            </a:srgbClr>
          </a:solidFill>
          <a:prstDash val="solid"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b99c7136-573c-4763-ae21-56dd5788fd61}"/>
      </c:ext>
    </c:extLst>
  </c:chart>
  <c:spPr>
    <a:solidFill>
      <a:srgbClr val="FFFFFF">
        <a:alpha val="100000"/>
      </a:srgbClr>
    </a:solidFill>
    <a:ln w="3175" cap="flat" cmpd="sng" algn="ctr">
      <a:solidFill>
        <a:srgbClr val="000000">
          <a:alpha val="100000"/>
        </a:srgbClr>
      </a:solidFill>
      <a:prstDash val="solid"/>
      <a:round/>
    </a:ln>
  </c:spPr>
  <c:txPr>
    <a:bodyPr rot="0" wrap="square" anchor="ctr" anchorCtr="1"/>
    <a:lstStyle/>
    <a:p>
      <a:pPr>
        <a:defRPr lang="zh-CN" sz="925" b="0" i="0" u="none" strike="noStrike" baseline="0">
          <a:solidFill>
            <a:srgbClr val="000000"/>
          </a:solidFill>
          <a:latin typeface="Arial" panose="020B0604020202020204" charset="-122"/>
          <a:ea typeface="Arial" panose="020B0604020202020204" charset="-122"/>
          <a:cs typeface="Arial" panose="020B0604020202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100" b="1" i="0" u="none" strike="noStrike" kern="1200" baseline="0">
                <a:solidFill>
                  <a:srgbClr val="000000">
                    <a:alpha val="100000"/>
                  </a:srgbClr>
                </a:solidFill>
                <a:latin typeface="Arial" panose="020B0604020202020204" charset="-122"/>
                <a:ea typeface="Arial" panose="020B0604020202020204" charset="-122"/>
                <a:cs typeface="Arial" panose="020B0604020202020204" charset="-122"/>
              </a:defRPr>
            </a:pPr>
            <a:r>
              <a:t>Visual graph.</a:t>
            </a:r>
            <a:endParaRPr sz="1100" b="1" i="0" u="none" strike="noStrike" baseline="0">
              <a:solidFill>
                <a:srgbClr val="000000">
                  <a:alpha val="100000"/>
                </a:srgbClr>
              </a:solidFill>
              <a:latin typeface="Arial" panose="020B0604020202020204" charset="-122"/>
              <a:ea typeface="Arial" panose="020B0604020202020204" charset="-122"/>
              <a:cs typeface="Arial" panose="020B0604020202020204" charset="-122"/>
            </a:endParaRPr>
          </a:p>
        </c:rich>
      </c:tx>
      <c:layout>
        <c:manualLayout>
          <c:xMode val="edge"/>
          <c:yMode val="edge"/>
          <c:x val="0.401674079442998"/>
          <c:y val="0.037037037037037"/>
        </c:manualLayout>
      </c:layout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4811873622877"/>
          <c:y val="0.237037894378958"/>
          <c:w val="0.78033552515315"/>
          <c:h val="0.5148166768543"/>
        </c:manualLayout>
      </c:layout>
      <c:scatterChart>
        <c:scatterStyle val="lineMarker"/>
        <c:varyColors val="0"/>
        <c:ser>
          <c:idx val="0"/>
          <c:order val="0"/>
          <c:spPr>
            <a:ln w="25400" cap="rnd" cmpd="sng" algn="ctr">
              <a:solidFill>
                <a:srgbClr val="000000">
                  <a:alpha val="100000"/>
                </a:srgbClr>
              </a:solidFill>
              <a:prstDash val="solid"/>
              <a:round/>
            </a:ln>
          </c:spPr>
          <c:marker>
            <c:symbol val="circle"/>
            <c:size val="2"/>
            <c:spPr>
              <a:solidFill>
                <a:srgbClr val="000080">
                  <a:alpha val="100000"/>
                </a:srgbClr>
              </a:solidFill>
              <a:ln w="9525" cap="flat" cmpd="sng" algn="ctr">
                <a:solidFill>
                  <a:srgbClr val="000080">
                    <a:alpha val="100000"/>
                  </a:srgb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'Given time'!$G$14:$G$24</c:f>
              <c:numCache>
                <c:formatCode>0.00</c:formatCode>
                <c:ptCount val="11"/>
                <c:pt idx="0">
                  <c:v>0</c:v>
                </c:pt>
                <c:pt idx="1">
                  <c:v>2.3</c:v>
                </c:pt>
                <c:pt idx="2">
                  <c:v>4.6</c:v>
                </c:pt>
                <c:pt idx="3">
                  <c:v>6.9</c:v>
                </c:pt>
                <c:pt idx="4">
                  <c:v>9.2</c:v>
                </c:pt>
                <c:pt idx="5">
                  <c:v>11.5</c:v>
                </c:pt>
                <c:pt idx="6">
                  <c:v>13.8</c:v>
                </c:pt>
                <c:pt idx="7">
                  <c:v>16.1</c:v>
                </c:pt>
                <c:pt idx="8">
                  <c:v>18.4</c:v>
                </c:pt>
                <c:pt idx="9">
                  <c:v>20.7</c:v>
                </c:pt>
                <c:pt idx="10">
                  <c:v>23</c:v>
                </c:pt>
              </c:numCache>
            </c:numRef>
          </c:xVal>
          <c:yVal>
            <c:numRef>
              <c:f>'Given time'!$H$14:$H$24</c:f>
              <c:numCache>
                <c:formatCode>0.00</c:formatCode>
                <c:ptCount val="11"/>
                <c:pt idx="0">
                  <c:v>0</c:v>
                </c:pt>
                <c:pt idx="1">
                  <c:v>0.551124429881047</c:v>
                </c:pt>
                <c:pt idx="2">
                  <c:v>0.979776859762095</c:v>
                </c:pt>
                <c:pt idx="3">
                  <c:v>1.28595728964314</c:v>
                </c:pt>
                <c:pt idx="4">
                  <c:v>1.46966571952419</c:v>
                </c:pt>
                <c:pt idx="5">
                  <c:v>1.53090214940524</c:v>
                </c:pt>
                <c:pt idx="6">
                  <c:v>1.46966657928628</c:v>
                </c:pt>
                <c:pt idx="7">
                  <c:v>1.28595900916733</c:v>
                </c:pt>
                <c:pt idx="8">
                  <c:v>0.979779439048378</c:v>
                </c:pt>
                <c:pt idx="9">
                  <c:v>0.551127868929425</c:v>
                </c:pt>
                <c:pt idx="10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533540"/>
        <c:axId val="240297813"/>
      </c:scatterChart>
      <c:valAx>
        <c:axId val="206533540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rgbClr val="000000">
                  <a:alpha val="100000"/>
                </a:srgbClr>
              </a:solidFill>
              <a:prstDash val="solid"/>
              <a:round/>
            </a:ln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925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Arial" panose="020B0604020202020204" charset="-122"/>
                    <a:ea typeface="Arial" panose="020B0604020202020204" charset="-122"/>
                    <a:cs typeface="Arial" panose="020B0604020202020204" charset="-122"/>
                  </a:defRPr>
                </a:pPr>
                <a:r>
                  <a:t>Distance.</a:t>
                </a:r>
                <a:endParaRPr sz="925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Arial" panose="020B0604020202020204" charset="-122"/>
                  <a:ea typeface="Arial" panose="020B0604020202020204" charset="-122"/>
                  <a:cs typeface="Arial" panose="020B0604020202020204" charset="-122"/>
                </a:endParaRPr>
              </a:p>
            </c:rich>
          </c:tx>
          <c:layout>
            <c:manualLayout>
              <c:xMode val="edge"/>
              <c:yMode val="edge"/>
              <c:x val="0.485356087811199"/>
              <c:y val="0.862966073685234"/>
            </c:manualLayout>
          </c:layout>
          <c:overlay val="0"/>
          <c:spPr>
            <a:noFill/>
            <a:ln w="3175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25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Arial" panose="020B0604020202020204" charset="-122"/>
                <a:ea typeface="Arial" panose="020B0604020202020204" charset="-122"/>
                <a:cs typeface="Arial" panose="020B0604020202020204" charset="-122"/>
              </a:defRPr>
            </a:pPr>
          </a:p>
        </c:txPr>
        <c:crossAx val="240297813"/>
        <c:crosses val="autoZero"/>
        <c:crossBetween val="midCat"/>
      </c:valAx>
      <c:valAx>
        <c:axId val="240297813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000000">
                  <a:alpha val="100000"/>
                </a:srgb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925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Arial" panose="020B0604020202020204" charset="-122"/>
                    <a:ea typeface="Arial" panose="020B0604020202020204" charset="-122"/>
                    <a:cs typeface="Arial" panose="020B0604020202020204" charset="-122"/>
                  </a:defRPr>
                </a:pPr>
                <a:r>
                  <a:t>Hight.</a:t>
                </a:r>
                <a:endParaRPr sz="925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Arial" panose="020B0604020202020204" charset="-122"/>
                  <a:ea typeface="Arial" panose="020B0604020202020204" charset="-122"/>
                  <a:cs typeface="Arial" panose="020B0604020202020204" charset="-122"/>
                </a:endParaRPr>
              </a:p>
            </c:rich>
          </c:tx>
          <c:layout>
            <c:manualLayout>
              <c:xMode val="edge"/>
              <c:yMode val="edge"/>
              <c:x val="0.0334728033472803"/>
              <c:y val="0.425927481287061"/>
            </c:manualLayout>
          </c:layout>
          <c:overlay val="0"/>
          <c:spPr>
            <a:noFill/>
            <a:ln w="3175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25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Arial" panose="020B0604020202020204" charset="-122"/>
                <a:ea typeface="Arial" panose="020B0604020202020204" charset="-122"/>
                <a:cs typeface="Arial" panose="020B0604020202020204" charset="-122"/>
              </a:defRPr>
            </a:pPr>
          </a:p>
        </c:txPr>
        <c:crossAx val="206533540"/>
        <c:crosses val="autoZero"/>
        <c:crossBetween val="midCat"/>
      </c:valAx>
      <c:spPr>
        <a:solidFill>
          <a:srgbClr val="C0C0C0">
            <a:alpha val="100000"/>
          </a:srgbClr>
        </a:solidFill>
        <a:ln w="12700">
          <a:solidFill>
            <a:srgbClr val="808080">
              <a:alpha val="100000"/>
            </a:srgbClr>
          </a:solidFill>
          <a:prstDash val="solid"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d6110292-8355-4ebd-a7ee-6c1b6419073e}"/>
      </c:ext>
    </c:extLst>
  </c:chart>
  <c:spPr>
    <a:solidFill>
      <a:srgbClr val="FFFFFF">
        <a:alpha val="100000"/>
      </a:srgbClr>
    </a:solidFill>
    <a:ln w="3175" cap="flat" cmpd="sng" algn="ctr">
      <a:solidFill>
        <a:srgbClr val="000000">
          <a:alpha val="100000"/>
        </a:srgbClr>
      </a:solidFill>
      <a:prstDash val="solid"/>
      <a:round/>
    </a:ln>
  </c:spPr>
  <c:txPr>
    <a:bodyPr rot="0" wrap="square" anchor="ctr" anchorCtr="1"/>
    <a:lstStyle/>
    <a:p>
      <a:pPr>
        <a:defRPr lang="zh-CN" sz="925" b="0" i="0" u="none" strike="noStrike" baseline="0">
          <a:solidFill>
            <a:srgbClr val="000000"/>
          </a:solidFill>
          <a:latin typeface="Arial" panose="020B0604020202020204" charset="-122"/>
          <a:ea typeface="Arial" panose="020B0604020202020204" charset="-122"/>
          <a:cs typeface="Arial" panose="020B0604020202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50800</xdr:colOff>
      <xdr:row>0</xdr:row>
      <xdr:rowOff>28575</xdr:rowOff>
    </xdr:from>
    <xdr:to>
      <xdr:col>7</xdr:col>
      <xdr:colOff>586740</xdr:colOff>
      <xdr:row>0</xdr:row>
      <xdr:rowOff>142875</xdr:rowOff>
    </xdr:to>
    <xdr:pic>
      <xdr:nvPicPr>
        <xdr:cNvPr id="1127" name="Picture 1" descr="star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622800" y="28575"/>
          <a:ext cx="535940" cy="114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405130</xdr:colOff>
      <xdr:row>10</xdr:row>
      <xdr:rowOff>0</xdr:rowOff>
    </xdr:from>
    <xdr:to>
      <xdr:col>8</xdr:col>
      <xdr:colOff>40640</xdr:colOff>
      <xdr:row>25</xdr:row>
      <xdr:rowOff>153035</xdr:rowOff>
    </xdr:to>
    <xdr:graphicFrame>
      <xdr:nvGraphicFramePr>
        <xdr:cNvPr id="1128" name="Chart 2"/>
        <xdr:cNvGraphicFramePr/>
      </xdr:nvGraphicFramePr>
      <xdr:xfrm>
        <a:off x="405130" y="1650365"/>
        <a:ext cx="4855210" cy="26396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50800</xdr:colOff>
      <xdr:row>0</xdr:row>
      <xdr:rowOff>28575</xdr:rowOff>
    </xdr:from>
    <xdr:to>
      <xdr:col>7</xdr:col>
      <xdr:colOff>586740</xdr:colOff>
      <xdr:row>0</xdr:row>
      <xdr:rowOff>142875</xdr:rowOff>
    </xdr:to>
    <xdr:pic>
      <xdr:nvPicPr>
        <xdr:cNvPr id="101377" name="Picture 1" descr="star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622800" y="28575"/>
          <a:ext cx="535940" cy="114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409575</xdr:colOff>
      <xdr:row>23</xdr:row>
      <xdr:rowOff>24130</xdr:rowOff>
    </xdr:from>
    <xdr:to>
      <xdr:col>17</xdr:col>
      <xdr:colOff>73660</xdr:colOff>
      <xdr:row>39</xdr:row>
      <xdr:rowOff>14605</xdr:rowOff>
    </xdr:to>
    <xdr:graphicFrame>
      <xdr:nvGraphicFramePr>
        <xdr:cNvPr id="101378" name="Chart 2"/>
        <xdr:cNvGraphicFramePr/>
      </xdr:nvGraphicFramePr>
      <xdr:xfrm>
        <a:off x="6276975" y="3797300"/>
        <a:ext cx="4845685" cy="25901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workbookViewId="0">
      <selection activeCell="D37" sqref="D37"/>
    </sheetView>
  </sheetViews>
  <sheetFormatPr defaultColWidth="9.02654867256637" defaultRowHeight="12.75"/>
  <cols>
    <col min="2" max="2" width="9.55752212389381" style="6" customWidth="1"/>
    <col min="13" max="14" width="12.7964601769912"/>
  </cols>
  <sheetData>
    <row r="1" spans="1:14">
      <c r="A1" s="7" t="s">
        <v>0</v>
      </c>
      <c r="G1" t="s">
        <v>1</v>
      </c>
      <c r="I1" t="s">
        <v>2</v>
      </c>
    </row>
    <row r="3" ht="13.1" spans="1:14">
      <c r="L3" s="8"/>
      <c r="M3" s="8"/>
      <c r="N3" s="8"/>
    </row>
    <row r="4" spans="1:14">
      <c r="I4" s="5"/>
      <c r="J4" s="5"/>
      <c r="N4" s="5"/>
    </row>
    <row r="5" ht="13.1" spans="1:14">
      <c r="A5" s="9" t="s">
        <v>3</v>
      </c>
      <c r="B5" s="10"/>
      <c r="C5" s="8"/>
      <c r="D5" s="40" t="s">
        <v>4</v>
      </c>
      <c r="E5" s="8"/>
      <c r="I5" s="5"/>
      <c r="J5" s="11" t="s">
        <v>5</v>
      </c>
      <c r="K5" s="11" t="s">
        <v>6</v>
      </c>
      <c r="L5" s="11" t="s">
        <v>7</v>
      </c>
      <c r="M5" s="12" t="s">
        <v>8</v>
      </c>
      <c r="N5" s="5"/>
    </row>
    <row r="6" ht="13.1" spans="1:14">
      <c r="A6" s="41" t="s">
        <v>9</v>
      </c>
      <c r="B6" s="13">
        <v>20</v>
      </c>
      <c r="C6" s="41"/>
      <c r="D6" s="41" t="s">
        <v>10</v>
      </c>
      <c r="E6" s="14">
        <v>65</v>
      </c>
      <c r="I6" s="5"/>
      <c r="J6" s="11" t="s">
        <v>11</v>
      </c>
      <c r="K6" s="15">
        <v>324</v>
      </c>
      <c r="L6" s="15">
        <v>0.145</v>
      </c>
      <c r="M6" s="16" t="s">
        <v>12</v>
      </c>
      <c r="N6" s="5"/>
    </row>
    <row r="7" ht="13.1" spans="1:14">
      <c r="A7" s="41" t="s">
        <v>13</v>
      </c>
      <c r="B7" s="13">
        <v>20</v>
      </c>
      <c r="C7" s="41"/>
      <c r="D7" s="41" t="s">
        <v>14</v>
      </c>
      <c r="E7" s="14">
        <v>0</v>
      </c>
      <c r="I7" s="5"/>
      <c r="J7" s="11" t="s">
        <v>15</v>
      </c>
      <c r="K7" s="17">
        <v>331</v>
      </c>
      <c r="L7" s="17">
        <v>0.3</v>
      </c>
      <c r="M7" s="16" t="s">
        <v>12</v>
      </c>
      <c r="N7" s="5"/>
    </row>
    <row r="8" ht="13.1" spans="1:14">
      <c r="A8" s="41" t="s">
        <v>6</v>
      </c>
      <c r="B8" s="13">
        <v>430</v>
      </c>
      <c r="C8" s="41"/>
      <c r="D8" s="41"/>
      <c r="E8" s="41"/>
      <c r="I8" s="5"/>
      <c r="J8" s="11" t="s">
        <v>16</v>
      </c>
      <c r="K8" s="17">
        <v>490</v>
      </c>
      <c r="L8" s="17">
        <v>0.1993</v>
      </c>
      <c r="M8" s="16" t="s">
        <v>12</v>
      </c>
      <c r="N8" s="5"/>
    </row>
    <row r="9" ht="13.1" spans="1:14">
      <c r="A9" s="41" t="s">
        <v>7</v>
      </c>
      <c r="B9" s="18">
        <v>0.23</v>
      </c>
      <c r="C9" s="41"/>
      <c r="D9" s="41"/>
      <c r="E9" s="41"/>
      <c r="F9" s="1"/>
      <c r="I9" s="5"/>
      <c r="J9" s="11" t="s">
        <v>17</v>
      </c>
      <c r="K9" s="17">
        <v>425</v>
      </c>
      <c r="L9" s="17">
        <v>0.23</v>
      </c>
      <c r="M9" s="16" t="s">
        <v>12</v>
      </c>
      <c r="N9" s="5"/>
    </row>
    <row r="10" ht="13.1" spans="1:14">
      <c r="A10" s="41" t="s">
        <v>10</v>
      </c>
      <c r="B10" s="13">
        <v>17</v>
      </c>
      <c r="C10" s="41"/>
      <c r="D10" s="41"/>
      <c r="E10" s="41"/>
      <c r="F10" s="1"/>
      <c r="I10" s="5"/>
      <c r="J10" s="11" t="s">
        <v>18</v>
      </c>
      <c r="K10" s="17">
        <v>390</v>
      </c>
      <c r="L10" s="15">
        <v>0.253</v>
      </c>
      <c r="M10" s="17">
        <v>1.734</v>
      </c>
      <c r="N10" s="5"/>
    </row>
    <row r="11" ht="13.1" spans="1:14">
      <c r="A11" s="42"/>
      <c r="B11" s="43"/>
      <c r="C11" s="42"/>
      <c r="D11" s="43"/>
      <c r="E11" s="42"/>
      <c r="F11" s="42"/>
      <c r="G11" s="42"/>
      <c r="H11" s="42"/>
      <c r="I11" s="44"/>
      <c r="J11" s="11" t="s">
        <v>19</v>
      </c>
      <c r="K11" s="17">
        <v>390</v>
      </c>
      <c r="L11" s="17">
        <v>0.254</v>
      </c>
      <c r="M11" s="17">
        <v>2.134</v>
      </c>
      <c r="N11" s="5"/>
    </row>
    <row r="12" ht="13.1" spans="1:14">
      <c r="A12" s="42"/>
      <c r="B12" s="43"/>
      <c r="C12" s="42"/>
      <c r="D12" s="43"/>
      <c r="E12" s="42"/>
      <c r="F12" s="42"/>
      <c r="G12" s="42"/>
      <c r="H12" s="42"/>
      <c r="I12" s="44"/>
      <c r="J12" s="27" t="s">
        <v>20</v>
      </c>
      <c r="K12" s="2">
        <v>430</v>
      </c>
      <c r="L12" s="17">
        <v>0.23</v>
      </c>
      <c r="M12" s="45"/>
      <c r="N12" s="5"/>
    </row>
    <row r="13" spans="1:14">
      <c r="A13" s="46"/>
      <c r="B13" s="47"/>
      <c r="C13" s="46"/>
      <c r="D13" s="47"/>
      <c r="E13" s="46"/>
      <c r="F13" s="46"/>
      <c r="G13" s="46"/>
      <c r="H13" s="46"/>
      <c r="I13" s="44"/>
      <c r="L13" s="2"/>
      <c r="M13" s="45"/>
      <c r="N13" s="5"/>
    </row>
    <row r="14" ht="13.1" spans="1:14">
      <c r="A14" s="46" t="s">
        <v>21</v>
      </c>
      <c r="B14" s="47">
        <f>IF(E7=0,0,D14)</f>
        <v>0</v>
      </c>
      <c r="C14" s="46"/>
      <c r="D14" s="47">
        <f>IF(E14=1,E7,E7-1)</f>
        <v>-1</v>
      </c>
      <c r="E14" s="47">
        <f>IF(COS(RADIANS(E6))=-1,1,COS(RADIANS(E6)))</f>
        <v>0.422618261740699</v>
      </c>
      <c r="F14" s="47"/>
      <c r="G14" s="47">
        <v>0</v>
      </c>
      <c r="H14" s="47">
        <v>0</v>
      </c>
      <c r="I14" s="44"/>
      <c r="J14" s="37"/>
      <c r="K14" s="3"/>
      <c r="L14" s="3"/>
      <c r="M14" s="45"/>
      <c r="N14" s="5"/>
    </row>
    <row r="15" ht="13.1" spans="1:14">
      <c r="A15" s="46" t="s">
        <v>22</v>
      </c>
      <c r="B15" s="47">
        <f>(B10+0.00001)*(PI()/180)</f>
        <v>0.296706147371961</v>
      </c>
      <c r="C15" s="46"/>
      <c r="D15" s="47">
        <f>E6*(PI()/180)</f>
        <v>1.13446401379631</v>
      </c>
      <c r="E15" s="47">
        <f>B20*(B22/10)+0.5*D20*(B22/10)^2</f>
        <v>80</v>
      </c>
      <c r="F15" s="47">
        <f>B21*(B22/10)-0.5*D21*(B22/10)^2</f>
        <v>22.0126228059893</v>
      </c>
      <c r="G15" s="47">
        <f>(E15)/(800/B6)</f>
        <v>2</v>
      </c>
      <c r="H15" s="47">
        <f>(F15:F15)/(800/B6)</f>
        <v>0.550315570149732</v>
      </c>
      <c r="I15" s="44"/>
      <c r="J15" s="27"/>
      <c r="K15" s="2"/>
      <c r="L15" s="2"/>
      <c r="M15" s="45"/>
      <c r="N15" s="5"/>
    </row>
    <row r="16" spans="1:14">
      <c r="A16" s="46" t="s">
        <v>23</v>
      </c>
      <c r="B16" s="47">
        <f>COS(B15)</f>
        <v>0.956304704934532</v>
      </c>
      <c r="C16" s="46"/>
      <c r="D16" s="47">
        <f>COS(D15)</f>
        <v>0.422618261740699</v>
      </c>
      <c r="E16" s="47">
        <f>B20*(B22*2/10)+0.5*D20*(B22*2/10)^2</f>
        <v>160</v>
      </c>
      <c r="F16" s="47">
        <f>B21*(B22*2/10)-0.5*D21*(B22*2/10)^2</f>
        <v>39.133551655092</v>
      </c>
      <c r="G16" s="47">
        <f>(E16)/(800/B6)</f>
        <v>4</v>
      </c>
      <c r="H16" s="47">
        <f>(F16)/(800/B6)</f>
        <v>0.978338791377301</v>
      </c>
      <c r="I16" s="44"/>
      <c r="J16" s="3"/>
      <c r="K16" s="3"/>
      <c r="L16" s="3"/>
      <c r="M16" s="3"/>
      <c r="N16" s="5"/>
    </row>
    <row r="17" ht="13.1" spans="1:14">
      <c r="A17" s="46" t="s">
        <v>24</v>
      </c>
      <c r="B17" s="47">
        <f>SIN(B15)</f>
        <v>0.292371871629399</v>
      </c>
      <c r="C17" s="46"/>
      <c r="D17" s="47">
        <f>SIN(D15)</f>
        <v>0.90630778703665</v>
      </c>
      <c r="E17" s="47">
        <f>B20*(B22*3/10)+0.5*D20*(B22*3/10)^2</f>
        <v>240</v>
      </c>
      <c r="F17" s="47">
        <f>B21*(B22*3/10)-0.5*D21*(B22*3/10)^2</f>
        <v>51.3627865473083</v>
      </c>
      <c r="G17" s="47">
        <f>(E17)/(800/B6)</f>
        <v>6</v>
      </c>
      <c r="H17" s="47">
        <f>(F17)/(800/B6)</f>
        <v>1.28406966368271</v>
      </c>
      <c r="I17" s="44"/>
      <c r="J17" s="27"/>
      <c r="K17" s="2"/>
      <c r="L17" s="2"/>
      <c r="M17" s="3"/>
      <c r="N17" s="5"/>
    </row>
    <row r="18" ht="13.1" spans="1:14">
      <c r="A18" s="46" t="s">
        <v>25</v>
      </c>
      <c r="B18" s="47">
        <f>(800/B6)*B7</f>
        <v>800</v>
      </c>
      <c r="C18" s="46" t="s">
        <v>26</v>
      </c>
      <c r="D18" s="47">
        <f>D16*B14</f>
        <v>0</v>
      </c>
      <c r="E18" s="47">
        <f>B20*(B22*4/10)+0.5*D20*(B22*4/10)^2</f>
        <v>320</v>
      </c>
      <c r="F18" s="47">
        <f>B21*(B22*4/10)-0.5*D21*(B22*4/10)^2</f>
        <v>58.700327482638</v>
      </c>
      <c r="G18" s="47">
        <f>(E18)/(800/B6)</f>
        <v>8</v>
      </c>
      <c r="H18" s="47">
        <f>(F18)/(800/B6)</f>
        <v>1.46750818706595</v>
      </c>
      <c r="I18" s="44"/>
      <c r="J18" s="27"/>
      <c r="K18" s="2"/>
      <c r="L18" s="2"/>
      <c r="M18" s="3"/>
      <c r="N18" s="5"/>
    </row>
    <row r="19" ht="13.1" spans="1:14">
      <c r="A19" s="46" t="s">
        <v>27</v>
      </c>
      <c r="B19" s="47">
        <f>SQRT(B18/((2*B16*B17)/(D21)+(2*D20*B17*B17)/(D21*D21)))</f>
        <v>784.329018481191</v>
      </c>
      <c r="C19" s="46" t="s">
        <v>28</v>
      </c>
      <c r="D19" s="47">
        <f>D17*B14</f>
        <v>0</v>
      </c>
      <c r="E19" s="47">
        <f>B20*(B22*5/10)+0.5*D20*(B22*5/10)^2</f>
        <v>400</v>
      </c>
      <c r="F19" s="47">
        <f>B21*(B22*5/10)-0.5*D21*(B22*5/10)^2</f>
        <v>61.1461744610813</v>
      </c>
      <c r="G19" s="47">
        <f>(E19)/(800/B6)</f>
        <v>10</v>
      </c>
      <c r="H19" s="47">
        <f>(F19)/(800/B6)</f>
        <v>1.52865436152703</v>
      </c>
      <c r="I19" s="44"/>
      <c r="J19" s="27"/>
      <c r="K19" s="2"/>
      <c r="L19" s="2"/>
      <c r="M19" s="3"/>
      <c r="N19" s="5"/>
    </row>
    <row r="20" ht="13.1" spans="1:14">
      <c r="A20" s="46" t="s">
        <v>29</v>
      </c>
      <c r="B20" s="47">
        <f>B19*B16</f>
        <v>750.057530590246</v>
      </c>
      <c r="C20" s="46" t="s">
        <v>30</v>
      </c>
      <c r="D20" s="47">
        <f>D18/B9</f>
        <v>0</v>
      </c>
      <c r="E20" s="47">
        <f>B20*(B22*6/10)+0.5*D20*(B22*6/10)^2</f>
        <v>480</v>
      </c>
      <c r="F20" s="47">
        <f>B21*(B22*6/10)-0.5*D21*(B22*6/10)^2</f>
        <v>58.700327482638</v>
      </c>
      <c r="G20" s="47">
        <f>(E20)/(800/B6)</f>
        <v>12</v>
      </c>
      <c r="H20" s="47">
        <f>(F20)/(800/B6)</f>
        <v>1.46750818706595</v>
      </c>
      <c r="I20" s="44"/>
      <c r="J20" s="27"/>
      <c r="K20" s="2"/>
      <c r="L20" s="2"/>
      <c r="M20" s="3"/>
      <c r="N20" s="5"/>
    </row>
    <row r="21" ht="13.1" spans="1:14">
      <c r="A21" s="46" t="s">
        <v>31</v>
      </c>
      <c r="B21" s="47">
        <f>B19*B17</f>
        <v>229.315743106595</v>
      </c>
      <c r="C21" s="46" t="s">
        <v>32</v>
      </c>
      <c r="D21" s="47">
        <f>B8-D19/B9</f>
        <v>430</v>
      </c>
      <c r="E21" s="47">
        <f>B20*(B22*7/10)+0.5*D20*(B22*7/10)^2</f>
        <v>560</v>
      </c>
      <c r="F21" s="47">
        <f>B21*(B22*7/10)-0.5*D21*(B22*7/10)^2</f>
        <v>51.3627865473082</v>
      </c>
      <c r="G21" s="47">
        <f>(E21)/(800/B6)</f>
        <v>14</v>
      </c>
      <c r="H21" s="47">
        <f>(F21)/(800/B6)</f>
        <v>1.28406966368271</v>
      </c>
      <c r="I21" s="44"/>
      <c r="J21" s="27"/>
      <c r="N21" s="5"/>
    </row>
    <row r="22" ht="13.1" spans="1:14">
      <c r="A22" s="46" t="s">
        <v>33</v>
      </c>
      <c r="B22" s="47">
        <f>(2*B21)/D21</f>
        <v>1.06658485165858</v>
      </c>
      <c r="C22" s="46"/>
      <c r="D22" s="47"/>
      <c r="E22" s="47">
        <f>B20*(B22*8/10)+0.5*D20*(B22*8/10)^2</f>
        <v>640</v>
      </c>
      <c r="F22" s="47">
        <f>B21*(B22*8/10)-0.5*D21*(B22*8/10)^2</f>
        <v>39.133551655092</v>
      </c>
      <c r="G22" s="47">
        <f>(E22)/(800/B6)</f>
        <v>16</v>
      </c>
      <c r="H22" s="47">
        <f>(F22)/(800/B6)</f>
        <v>0.978338791377301</v>
      </c>
      <c r="I22" s="44"/>
      <c r="J22" s="27"/>
      <c r="N22" s="5"/>
    </row>
    <row r="23" ht="13.1" spans="1:14">
      <c r="A23" s="46"/>
      <c r="B23" s="47"/>
      <c r="C23" s="46"/>
      <c r="D23" s="47"/>
      <c r="E23" s="47">
        <f>B20*(B22*9/10)+0.5*D20*(B22*9/10)^2</f>
        <v>720</v>
      </c>
      <c r="F23" s="47">
        <f>B21*(B22*9/10)-0.5*D21*(B22*9/10)^2</f>
        <v>22.0126228059893</v>
      </c>
      <c r="G23" s="47">
        <f>(E23)/(800/B6)</f>
        <v>18</v>
      </c>
      <c r="H23" s="47">
        <f>(F23)/(800/B6)</f>
        <v>0.550315570149731</v>
      </c>
      <c r="I23" s="44"/>
      <c r="J23" s="27"/>
      <c r="N23" s="5"/>
    </row>
    <row r="24" ht="13.1" spans="1:14">
      <c r="A24" s="46"/>
      <c r="B24" s="47"/>
      <c r="C24" s="46"/>
      <c r="D24" s="47"/>
      <c r="E24" s="47"/>
      <c r="F24" s="47"/>
      <c r="G24" s="47">
        <f>B7</f>
        <v>20</v>
      </c>
      <c r="H24" s="47">
        <v>0</v>
      </c>
      <c r="I24" s="44"/>
      <c r="J24" s="27"/>
      <c r="N24" s="5"/>
    </row>
    <row r="25" ht="13.1" spans="1:14">
      <c r="A25" s="42"/>
      <c r="B25" s="43"/>
      <c r="C25" s="42"/>
      <c r="D25" s="42"/>
      <c r="E25" s="42"/>
      <c r="F25" s="42"/>
      <c r="G25" s="42"/>
      <c r="H25" s="42"/>
      <c r="I25" s="44"/>
      <c r="J25" s="27"/>
      <c r="N25" s="5"/>
    </row>
    <row r="26" ht="13.1" spans="1:14">
      <c r="A26" s="48"/>
      <c r="B26" s="49"/>
      <c r="C26" s="48"/>
      <c r="D26" s="48"/>
      <c r="E26" s="48"/>
      <c r="F26" s="48"/>
      <c r="G26" s="48"/>
      <c r="H26" s="48"/>
      <c r="I26" s="44"/>
      <c r="J26" s="37"/>
      <c r="N26" s="5"/>
    </row>
    <row r="27" ht="13.1" spans="1:14">
      <c r="A27" s="50" t="s">
        <v>34</v>
      </c>
      <c r="B27" s="51">
        <f>B19*0.004332712</f>
        <v>3.39827175032168</v>
      </c>
      <c r="C27" s="50"/>
      <c r="D27" s="50" t="s">
        <v>33</v>
      </c>
      <c r="E27" s="51">
        <f>B22</f>
        <v>1.06658485165858</v>
      </c>
      <c r="F27" s="52"/>
      <c r="G27" s="52"/>
      <c r="H27" s="52"/>
      <c r="I27" s="53"/>
      <c r="N27" s="5"/>
    </row>
  </sheetData>
  <pageMargins left="0.75" right="0.75" top="1" bottom="1" header="0.5" footer="0.5"/>
  <pageSetup paperSize="9" orientation="portrait" horizontalDpi="600" verticalDpi="6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workbookViewId="0">
      <selection activeCell="C7" sqref="C7"/>
    </sheetView>
  </sheetViews>
  <sheetFormatPr defaultColWidth="9.02654867256637" defaultRowHeight="12.75"/>
  <cols>
    <col min="2" max="2" width="9.55752212389381" style="6" customWidth="1"/>
  </cols>
  <sheetData>
    <row r="1" spans="1:14">
      <c r="A1" s="7" t="s">
        <v>0</v>
      </c>
      <c r="G1" t="s">
        <v>1</v>
      </c>
      <c r="I1" t="s">
        <v>2</v>
      </c>
    </row>
    <row r="3" ht="13.1" spans="1:14">
      <c r="L3" s="8"/>
      <c r="M3" s="8"/>
      <c r="N3" s="8"/>
    </row>
    <row r="4" spans="1:14">
      <c r="I4" s="5"/>
      <c r="J4" s="5"/>
      <c r="N4" s="5"/>
    </row>
    <row r="5" ht="13.1" spans="1:14">
      <c r="A5" s="9" t="s">
        <v>3</v>
      </c>
      <c r="B5" s="10"/>
      <c r="C5" s="8"/>
      <c r="D5" s="9" t="s">
        <v>4</v>
      </c>
      <c r="E5" s="8"/>
      <c r="I5" s="5"/>
      <c r="J5" s="11" t="s">
        <v>5</v>
      </c>
      <c r="K5" s="11" t="s">
        <v>6</v>
      </c>
      <c r="L5" s="11" t="s">
        <v>7</v>
      </c>
      <c r="M5" s="12" t="s">
        <v>8</v>
      </c>
      <c r="N5" s="5"/>
    </row>
    <row r="6" ht="13.1" spans="1:14">
      <c r="A6" s="8" t="s">
        <v>9</v>
      </c>
      <c r="B6" s="13">
        <v>20</v>
      </c>
      <c r="C6" s="8"/>
      <c r="D6" s="8" t="s">
        <v>10</v>
      </c>
      <c r="E6" s="14">
        <v>101.25</v>
      </c>
      <c r="I6" s="5"/>
      <c r="J6" s="11" t="s">
        <v>11</v>
      </c>
      <c r="K6" s="15">
        <v>324</v>
      </c>
      <c r="L6" s="15">
        <v>0.145</v>
      </c>
      <c r="M6" s="16" t="s">
        <v>12</v>
      </c>
      <c r="N6" s="5"/>
    </row>
    <row r="7" ht="13.1" spans="1:14">
      <c r="A7" s="8" t="s">
        <v>13</v>
      </c>
      <c r="B7" s="13">
        <v>23</v>
      </c>
      <c r="C7" s="8"/>
      <c r="D7" s="8" t="s">
        <v>14</v>
      </c>
      <c r="E7" s="14">
        <v>0</v>
      </c>
      <c r="I7" s="5"/>
      <c r="J7" s="11" t="s">
        <v>15</v>
      </c>
      <c r="K7" s="17">
        <v>331</v>
      </c>
      <c r="L7" s="17">
        <v>0.3</v>
      </c>
      <c r="M7" s="16" t="s">
        <v>12</v>
      </c>
      <c r="N7" s="5"/>
    </row>
    <row r="8" ht="13.1" spans="1:14">
      <c r="A8" s="8" t="s">
        <v>6</v>
      </c>
      <c r="B8" s="13">
        <v>420</v>
      </c>
      <c r="C8" s="8"/>
      <c r="D8" s="8"/>
      <c r="E8" s="8"/>
      <c r="I8" s="5"/>
      <c r="J8" s="11" t="s">
        <v>16</v>
      </c>
      <c r="K8" s="17">
        <v>490</v>
      </c>
      <c r="L8" s="17">
        <v>0.1993</v>
      </c>
      <c r="M8" s="16" t="s">
        <v>12</v>
      </c>
      <c r="N8" s="5"/>
    </row>
    <row r="9" ht="13.1" spans="1:14">
      <c r="A9" s="8" t="s">
        <v>7</v>
      </c>
      <c r="B9" s="18">
        <v>0.145</v>
      </c>
      <c r="C9" s="8"/>
      <c r="D9" s="8"/>
      <c r="E9" s="8"/>
      <c r="F9" s="1"/>
      <c r="I9" s="5"/>
      <c r="J9" s="11" t="s">
        <v>17</v>
      </c>
      <c r="K9" s="17">
        <v>425</v>
      </c>
      <c r="L9" s="17">
        <v>0.23</v>
      </c>
      <c r="M9" s="16" t="s">
        <v>12</v>
      </c>
      <c r="N9" s="5"/>
    </row>
    <row r="10" ht="13.1" spans="1:14">
      <c r="A10" s="8" t="s">
        <v>33</v>
      </c>
      <c r="B10" s="19">
        <v>1.08</v>
      </c>
      <c r="C10" s="8"/>
      <c r="D10" s="8"/>
      <c r="E10" s="8"/>
      <c r="F10" s="1"/>
      <c r="I10" s="5"/>
      <c r="J10" s="11" t="s">
        <v>18</v>
      </c>
      <c r="K10" s="17">
        <v>390</v>
      </c>
      <c r="L10" s="15">
        <v>0.253</v>
      </c>
      <c r="M10" s="17">
        <v>1.734</v>
      </c>
      <c r="N10" s="5"/>
    </row>
    <row r="11" ht="13.1" spans="1:14">
      <c r="A11" s="20"/>
      <c r="B11" s="21"/>
      <c r="C11" s="20"/>
      <c r="D11" s="21"/>
      <c r="E11" s="20"/>
      <c r="F11" s="20"/>
      <c r="G11" s="22"/>
      <c r="H11" s="22"/>
      <c r="I11" s="23"/>
      <c r="J11" s="11" t="s">
        <v>19</v>
      </c>
      <c r="K11" s="17">
        <v>390</v>
      </c>
      <c r="L11" s="17">
        <v>0.254</v>
      </c>
      <c r="M11" s="17">
        <v>2.134</v>
      </c>
      <c r="N11" s="5"/>
    </row>
    <row r="12" ht="13.1" spans="1:14">
      <c r="A12" s="24"/>
      <c r="B12" s="25"/>
      <c r="C12" s="24"/>
      <c r="D12" s="25"/>
      <c r="E12" s="24"/>
      <c r="F12" s="24"/>
      <c r="G12" s="24"/>
      <c r="H12" s="24"/>
      <c r="I12" s="26"/>
      <c r="J12" s="27" t="s">
        <v>35</v>
      </c>
      <c r="K12" s="2">
        <v>430</v>
      </c>
      <c r="L12" s="17">
        <v>0.23</v>
      </c>
      <c r="M12" s="28"/>
      <c r="N12" s="29"/>
    </row>
    <row r="13" ht="13.1" spans="1:14">
      <c r="A13" s="30"/>
      <c r="B13" s="31"/>
      <c r="C13" s="30"/>
      <c r="D13" s="31"/>
      <c r="E13" s="30"/>
      <c r="F13" s="30"/>
      <c r="G13" s="30"/>
      <c r="H13" s="30"/>
      <c r="I13" s="26"/>
      <c r="K13" s="27"/>
      <c r="L13" s="28"/>
      <c r="M13" s="28"/>
      <c r="N13" s="29"/>
    </row>
    <row r="14" ht="13.1" spans="1:14">
      <c r="A14" s="30" t="s">
        <v>21</v>
      </c>
      <c r="B14" s="31">
        <f>IF(E7=0,0,D14)</f>
        <v>0</v>
      </c>
      <c r="C14" s="30"/>
      <c r="D14" s="31">
        <f>IF(E14=1,E7,E7-1)</f>
        <v>-1</v>
      </c>
      <c r="E14" s="31">
        <f>IF(COS(RADIANS(E6))=-1,1,COS(RADIANS(E6)))</f>
        <v>-0.195090322016128</v>
      </c>
      <c r="F14" s="31"/>
      <c r="G14" s="31">
        <v>0</v>
      </c>
      <c r="H14" s="31">
        <v>0</v>
      </c>
      <c r="I14" s="26"/>
      <c r="J14" s="12" t="s">
        <v>36</v>
      </c>
      <c r="K14" s="11" t="s">
        <v>8</v>
      </c>
      <c r="L14" s="32"/>
      <c r="M14" s="32"/>
      <c r="N14" s="29"/>
    </row>
    <row r="15" spans="1:14">
      <c r="A15" s="30" t="s">
        <v>22</v>
      </c>
      <c r="B15" s="31">
        <f>(B20+0.00001)*(PI()/180)</f>
        <v>0.260207431760226</v>
      </c>
      <c r="C15" s="30"/>
      <c r="D15" s="31">
        <f>E6*(PI()/180)</f>
        <v>1.76714586764426</v>
      </c>
      <c r="E15" s="31">
        <f>B22*(B10/10)+0.5*D20*(B10/10)^2</f>
        <v>92</v>
      </c>
      <c r="F15" s="31">
        <f>B23*(B10/10)-0.5*D21*(B10/10)^2</f>
        <v>22.0449771952419</v>
      </c>
      <c r="G15" s="31">
        <f>(E15)/(800/B6)</f>
        <v>2.3</v>
      </c>
      <c r="H15" s="31">
        <f>(F15:F15)/(800/B6)</f>
        <v>0.551124429881047</v>
      </c>
      <c r="I15" s="26"/>
      <c r="J15" s="17" t="s">
        <v>37</v>
      </c>
      <c r="K15" s="17">
        <v>0.467</v>
      </c>
      <c r="L15" s="28"/>
      <c r="M15" s="28"/>
      <c r="N15" s="29"/>
    </row>
    <row r="16" spans="1:14">
      <c r="A16" s="30" t="s">
        <v>23</v>
      </c>
      <c r="B16" s="31">
        <f>COS(B15)</f>
        <v>0.966336630672614</v>
      </c>
      <c r="C16" s="30"/>
      <c r="D16" s="31">
        <f>COS(D15)</f>
        <v>-0.195090322016128</v>
      </c>
      <c r="E16" s="31">
        <f>B22*(B10*2/10)+0.5*D20*(B10*2/10)^2</f>
        <v>184</v>
      </c>
      <c r="F16" s="31">
        <f>B23*(B10*2/10)-0.5*D21*(B10*2/10)^2</f>
        <v>39.1910743904838</v>
      </c>
      <c r="G16" s="31">
        <f>(E16)/(800/B6)</f>
        <v>4.6</v>
      </c>
      <c r="H16" s="31">
        <f>(F16)/(800/B6)</f>
        <v>0.979776859762095</v>
      </c>
      <c r="I16" s="26"/>
      <c r="J16" s="17" t="s">
        <v>38</v>
      </c>
      <c r="K16" s="17">
        <v>0.66</v>
      </c>
      <c r="L16" s="28"/>
      <c r="M16" s="32"/>
      <c r="N16" s="5"/>
    </row>
    <row r="17" spans="1:14">
      <c r="A17" s="30" t="s">
        <v>24</v>
      </c>
      <c r="B17" s="31">
        <f>SIN(B15)</f>
        <v>0.257281006334124</v>
      </c>
      <c r="C17" s="30"/>
      <c r="D17" s="31">
        <f>SIN(D15)</f>
        <v>0.98078528040323</v>
      </c>
      <c r="E17" s="31">
        <f>B22*(B10*3/10)+0.5*D20*(B10*3/10)^2</f>
        <v>276</v>
      </c>
      <c r="F17" s="31">
        <f>B23*(B10*3/10)-0.5*D21*(B10*3/10)^2</f>
        <v>51.4382915857257</v>
      </c>
      <c r="G17" s="31">
        <f>(E17)/(800/B6)</f>
        <v>6.9</v>
      </c>
      <c r="H17" s="31">
        <f>(F17)/(800/B6)</f>
        <v>1.28595728964314</v>
      </c>
      <c r="I17" s="26"/>
      <c r="J17" s="17"/>
      <c r="K17" s="17"/>
      <c r="L17" s="28"/>
      <c r="M17" s="32"/>
      <c r="N17" s="5"/>
    </row>
    <row r="18" spans="1:14">
      <c r="A18" s="30" t="s">
        <v>25</v>
      </c>
      <c r="B18" s="31">
        <f>(800/B6)*B7</f>
        <v>920</v>
      </c>
      <c r="C18" s="30" t="s">
        <v>26</v>
      </c>
      <c r="D18" s="31">
        <f>D16*B14</f>
        <v>0</v>
      </c>
      <c r="E18" s="31">
        <f>B22*(B10*4/10)+0.5*D20*(B10*4/10)^2</f>
        <v>368</v>
      </c>
      <c r="F18" s="31">
        <f>B23*(B10*4/10)-0.5*D21*(B10*4/10)^2</f>
        <v>58.7866287809676</v>
      </c>
      <c r="G18" s="31">
        <f>(E18)/(800/B6)</f>
        <v>9.2</v>
      </c>
      <c r="H18" s="31">
        <f>(F18)/(800/B6)</f>
        <v>1.46966571952419</v>
      </c>
      <c r="I18" s="26"/>
      <c r="J18" s="17"/>
      <c r="K18" s="17"/>
      <c r="L18" s="28"/>
      <c r="M18" s="32"/>
      <c r="N18" s="5"/>
    </row>
    <row r="19" spans="1:14">
      <c r="A19" s="30" t="s">
        <v>39</v>
      </c>
      <c r="B19" s="31">
        <f>(0+0.5*D21*(B10*B10))/(B18-0.5*D20*B10*B10)</f>
        <v>0.26624347826087</v>
      </c>
      <c r="C19" s="30" t="s">
        <v>28</v>
      </c>
      <c r="D19" s="31">
        <f>D17*B14</f>
        <v>0</v>
      </c>
      <c r="E19" s="31">
        <f>B22*(B10*5/10)+0.5*D20*(B10*5/10)^2</f>
        <v>460</v>
      </c>
      <c r="F19" s="31">
        <f>B23*(B10*5/10)-0.5*D21*(B10*5/10)^2</f>
        <v>61.2360859762095</v>
      </c>
      <c r="G19" s="31">
        <f>(E19)/(800/B6)</f>
        <v>11.5</v>
      </c>
      <c r="H19" s="31">
        <f>(F19)/(800/B6)</f>
        <v>1.53090214940524</v>
      </c>
      <c r="I19" s="26"/>
      <c r="J19" s="17"/>
      <c r="K19" s="17"/>
      <c r="L19" s="28"/>
      <c r="M19" s="32"/>
      <c r="N19" s="5"/>
    </row>
    <row r="20" spans="1:14">
      <c r="A20" s="30" t="s">
        <v>40</v>
      </c>
      <c r="B20" s="31">
        <f>DEGREES(ATAN(B19))</f>
        <v>14.9087776377993</v>
      </c>
      <c r="C20" s="30" t="s">
        <v>30</v>
      </c>
      <c r="D20" s="31">
        <f>D18/B9</f>
        <v>0</v>
      </c>
      <c r="E20" s="31">
        <f>B22*(B10*6/10)+0.5*D20*(B10*6/10)^2</f>
        <v>552</v>
      </c>
      <c r="F20" s="31">
        <f>B23*(B10*6/10)-0.5*D21*(B10*6/10)^2</f>
        <v>58.7866631714513</v>
      </c>
      <c r="G20" s="31">
        <f>(E20)/(800/B6)</f>
        <v>13.8</v>
      </c>
      <c r="H20" s="31">
        <f>(F20)/(800/B6)</f>
        <v>1.46966657928628</v>
      </c>
      <c r="I20" s="26"/>
      <c r="J20" s="17"/>
      <c r="K20" s="17"/>
      <c r="L20" s="28"/>
      <c r="M20" s="32"/>
      <c r="N20" s="5"/>
    </row>
    <row r="21" spans="1:14">
      <c r="A21" s="30" t="s">
        <v>27</v>
      </c>
      <c r="B21" s="31">
        <f>(B18-0.5*D20*B10*B10)/(B16*B10)</f>
        <v>881.527021550372</v>
      </c>
      <c r="C21" s="30" t="s">
        <v>32</v>
      </c>
      <c r="D21" s="31">
        <f>B8-D19/B9</f>
        <v>420</v>
      </c>
      <c r="E21" s="31">
        <f>B22*(B10*7/10)+0.5*D20*(B10*7/10)^2</f>
        <v>644</v>
      </c>
      <c r="F21" s="31">
        <f>B23*(B10*7/10)-0.5*D21*(B10*7/10)^2</f>
        <v>51.4383603666932</v>
      </c>
      <c r="G21" s="31">
        <f>(E21)/(800/B6)</f>
        <v>16.1</v>
      </c>
      <c r="H21" s="31">
        <f>(F21)/(800/B6)</f>
        <v>1.28595900916733</v>
      </c>
      <c r="I21" s="26"/>
      <c r="J21" s="17"/>
      <c r="K21" s="17"/>
      <c r="L21" s="28"/>
      <c r="M21" s="32"/>
      <c r="N21" s="5"/>
    </row>
    <row r="22" spans="1:14">
      <c r="A22" s="30" t="s">
        <v>29</v>
      </c>
      <c r="B22" s="31">
        <f>B21*B16</f>
        <v>851.851851851852</v>
      </c>
      <c r="C22" s="30"/>
      <c r="D22" s="31"/>
      <c r="E22" s="31">
        <f>B22*(B10*8/10)+0.5*D20*(B10*8/10)^2</f>
        <v>736</v>
      </c>
      <c r="F22" s="31">
        <f>B23*(B10*8/10)-0.5*D21*(B10*8/10)^2</f>
        <v>39.1911775619351</v>
      </c>
      <c r="G22" s="31">
        <f>(E22)/(800/B6)</f>
        <v>18.4</v>
      </c>
      <c r="H22" s="31">
        <f>(F22)/(800/B6)</f>
        <v>0.979779439048378</v>
      </c>
      <c r="I22" s="26"/>
      <c r="L22" s="28"/>
      <c r="M22" s="32"/>
      <c r="N22" s="5"/>
    </row>
    <row r="23" spans="1:14">
      <c r="A23" s="30" t="s">
        <v>31</v>
      </c>
      <c r="B23" s="31">
        <f>B21*B17</f>
        <v>226.800159215203</v>
      </c>
      <c r="C23" s="30"/>
      <c r="D23" s="31"/>
      <c r="E23" s="31">
        <f>B22*(B10*9/10)+0.5*D20*(B10*9/10)^2</f>
        <v>828</v>
      </c>
      <c r="F23" s="31">
        <f>B23*(B10*9/10)-0.5*D21*(B10*9/10)^2</f>
        <v>22.045114757177</v>
      </c>
      <c r="G23" s="31">
        <f>(E23)/(800/B6)</f>
        <v>20.7</v>
      </c>
      <c r="H23" s="31">
        <f>(F23)/(800/B6)</f>
        <v>0.551127868929425</v>
      </c>
      <c r="I23" s="26"/>
      <c r="L23" s="28"/>
      <c r="M23" s="28"/>
      <c r="N23" s="5"/>
    </row>
    <row r="24" spans="1:14">
      <c r="A24" s="30"/>
      <c r="B24" s="31"/>
      <c r="C24" s="30"/>
      <c r="D24" s="31"/>
      <c r="E24" s="31"/>
      <c r="F24" s="31"/>
      <c r="G24" s="31">
        <f>B7</f>
        <v>23</v>
      </c>
      <c r="H24" s="31">
        <v>0</v>
      </c>
      <c r="I24" s="26"/>
      <c r="L24" s="33"/>
      <c r="M24" s="28"/>
      <c r="N24" s="5"/>
    </row>
    <row r="25" spans="1:14">
      <c r="A25" s="24"/>
      <c r="B25" s="25"/>
      <c r="C25" s="24"/>
      <c r="D25" s="24"/>
      <c r="E25" s="24"/>
      <c r="F25" s="24"/>
      <c r="G25" s="24"/>
      <c r="H25" s="24"/>
      <c r="I25" s="26"/>
      <c r="L25" s="28"/>
      <c r="M25" s="28"/>
      <c r="N25" s="5"/>
    </row>
    <row r="26" ht="13.1" spans="1:14">
      <c r="A26" s="34"/>
      <c r="B26" s="35"/>
      <c r="C26" s="34"/>
      <c r="D26" s="34"/>
      <c r="E26" s="34"/>
      <c r="F26" s="34"/>
      <c r="G26" s="34"/>
      <c r="H26" s="34"/>
      <c r="I26" s="36"/>
      <c r="J26" s="37"/>
      <c r="K26" s="32"/>
      <c r="L26" s="32"/>
      <c r="M26" s="32"/>
      <c r="N26" s="5"/>
    </row>
    <row r="27" ht="13.1" spans="1:14">
      <c r="A27" s="8" t="s">
        <v>34</v>
      </c>
      <c r="B27" s="38">
        <f>B21*0.004332712</f>
        <v>3.81940270459556</v>
      </c>
      <c r="C27" s="8"/>
      <c r="D27" s="8" t="s">
        <v>10</v>
      </c>
      <c r="E27" s="38">
        <f>B20</f>
        <v>14.9087776377993</v>
      </c>
      <c r="I27" s="39"/>
      <c r="J27" s="5"/>
      <c r="K27" s="5"/>
      <c r="L27" s="5"/>
      <c r="M27" s="5"/>
      <c r="N27" s="5"/>
    </row>
  </sheetData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24"/>
  <sheetViews>
    <sheetView tabSelected="1" workbookViewId="0">
      <selection activeCell="B5" sqref="B5"/>
    </sheetView>
  </sheetViews>
  <sheetFormatPr defaultColWidth="9.02654867256637" defaultRowHeight="12.75" outlineLevelCol="3"/>
  <sheetData>
    <row r="2" spans="2:4">
      <c r="B2" t="s">
        <v>41</v>
      </c>
    </row>
    <row r="3" spans="2:4">
      <c r="B3" t="s">
        <v>42</v>
      </c>
    </row>
    <row r="4" spans="2:4">
      <c r="B4" t="s">
        <v>43</v>
      </c>
    </row>
    <row r="5" spans="2:4">
      <c r="B5" s="1" t="s">
        <v>44</v>
      </c>
    </row>
    <row r="6" spans="2:4">
      <c r="B6" t="s">
        <v>45</v>
      </c>
    </row>
    <row r="7" spans="2:4">
      <c r="B7" t="s">
        <v>46</v>
      </c>
    </row>
    <row r="8" spans="2:4">
      <c r="B8" t="s">
        <v>47</v>
      </c>
    </row>
    <row r="9" spans="2:4">
      <c r="B9" t="s">
        <v>48</v>
      </c>
    </row>
    <row r="10" spans="2:4">
      <c r="B10" t="s">
        <v>49</v>
      </c>
    </row>
    <row r="11" spans="2:4">
      <c r="B11" s="1" t="s">
        <v>50</v>
      </c>
    </row>
    <row r="12" spans="2:4">
      <c r="B12" s="1" t="s">
        <v>51</v>
      </c>
    </row>
    <row r="13" spans="2:4">
      <c r="B13" t="s">
        <v>52</v>
      </c>
    </row>
    <row r="16" spans="2:4">
      <c r="B16" s="2"/>
      <c r="C16" s="2"/>
      <c r="D16" s="3"/>
    </row>
    <row r="17" spans="2:4">
      <c r="B17" s="2"/>
      <c r="C17" s="2"/>
      <c r="D17" s="3"/>
    </row>
    <row r="18" spans="2:4">
      <c r="B18" s="2"/>
      <c r="C18" s="2"/>
      <c r="D18" s="2"/>
    </row>
    <row r="19" spans="2:4">
      <c r="B19" s="2"/>
      <c r="C19" s="4"/>
      <c r="D19" s="2"/>
    </row>
    <row r="20" spans="2:4">
      <c r="B20" s="2"/>
      <c r="C20" s="2"/>
      <c r="D20" s="2"/>
    </row>
    <row r="21" spans="2:4">
      <c r="B21" s="3"/>
      <c r="C21" s="3"/>
      <c r="D21" s="3"/>
    </row>
    <row r="22" spans="2:4">
      <c r="B22" s="5"/>
      <c r="C22" s="5"/>
      <c r="D22" s="5"/>
    </row>
    <row r="24" spans="2:4">
      <c r="B24" s="1"/>
      <c r="D24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Finding power</vt:lpstr>
      <vt:lpstr>Given time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WPS_1648864771</cp:lastModifiedBy>
  <dcterms:created xsi:type="dcterms:W3CDTF">1996-10-14T23:33:00Z</dcterms:created>
  <dcterms:modified xsi:type="dcterms:W3CDTF">2026-05-31T18:19:14Z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BF4BB78891F74AB49FCCCC2DBAFBAD5B_13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